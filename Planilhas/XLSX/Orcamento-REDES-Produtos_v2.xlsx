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</sheets>
  <definedNames/>
  <calcPr/>
</workbook>
</file>

<file path=xl/sharedStrings.xml><?xml version="1.0" encoding="utf-8"?>
<sst xmlns="http://schemas.openxmlformats.org/spreadsheetml/2006/main" count="153" uniqueCount="85">
  <si>
    <t>PLANILHA DE ORÇAMENTO REDES - PRODUTOS</t>
  </si>
  <si>
    <t>PRODUTOS</t>
  </si>
  <si>
    <t>QTDE</t>
  </si>
  <si>
    <t>UND</t>
  </si>
  <si>
    <t>DESCRIÇÃO</t>
  </si>
  <si>
    <t>VENDEDOR / FORNECEDOR</t>
  </si>
  <si>
    <t>VALOR UNITÁRIO</t>
  </si>
  <si>
    <t>VALOR TOTAL</t>
  </si>
  <si>
    <t>UN</t>
  </si>
  <si>
    <t>ABRAÇADEIRA NYLON REUTILIZÁVEL 100 UN MIX 4 TAMANHOS</t>
  </si>
  <si>
    <t>GADAN - VARIONIX</t>
  </si>
  <si>
    <t>PC</t>
  </si>
  <si>
    <t>BALUN PASSIVO INTELBRAS VB 503 B CONVERSOR DE SINAL DE VÍDEO</t>
  </si>
  <si>
    <t>SISTEC</t>
  </si>
  <si>
    <t>BOTAO DE SAIDA INOX CAIXA BT 3000 IN - INTELBRAS</t>
  </si>
  <si>
    <t>MEGA VARIEDADES COM.</t>
  </si>
  <si>
    <t>BOTOEIRA PLASTICA VAZIA 1 FURO BPA01 AL</t>
  </si>
  <si>
    <t>MULTFER</t>
  </si>
  <si>
    <t>CX</t>
  </si>
  <si>
    <t>CABO DE REDE SOHO PLUS FURUKAWA CAT6 UTP 305M VERMELHO</t>
  </si>
  <si>
    <t>VINI MULTISTORE</t>
  </si>
  <si>
    <t>MT</t>
  </si>
  <si>
    <t>CABO FLEX SING 1,5MM 750V AMARELO (MT) SIL</t>
  </si>
  <si>
    <t>CABO FLEX SING 1,5MM 750V AZUL (MT) SIL</t>
  </si>
  <si>
    <t>CABO FLEX SING 4MM 750V AZ (MT) SIL</t>
  </si>
  <si>
    <t>CABO FLEX SING 4MM 750V PT (MT) SIL</t>
  </si>
  <si>
    <t>CABO FLEX SING 4MM 750V VD (MT) SIL</t>
  </si>
  <si>
    <t>CABO PAR TRANCADO 4PX24AWG AZ U/UTP CAT5E CMX FURUKAWA</t>
  </si>
  <si>
    <t>CAIXA DE PASSAGEM EXTERNA INTELBRAS VBOX 1100 E 10X10X5.3 CM</t>
  </si>
  <si>
    <t>PRIME VOLT</t>
  </si>
  <si>
    <t>CAMERA DOME IP WI-FI VIPW 1220 D FC, 2MP, LENTE FIXA 2.8 MM, IP67, H.2</t>
  </si>
  <si>
    <t>TOTALDADOS INFORM.</t>
  </si>
  <si>
    <t>CAMERA MULTI HD VHD 1230 B 30M (IR) G9 IP67</t>
  </si>
  <si>
    <t>CANALETA SIST X 50X20 C/ DIV - LEGRAND 2 MTS</t>
  </si>
  <si>
    <t>CANALETA/GUARNIÇÃO SPLIT CB-60 1MT 6,5CMX5,5CM REF. 600011</t>
  </si>
  <si>
    <t>CONTROLBOX</t>
  </si>
  <si>
    <t>CENTRAL COLETIVA COLLECTIVE 8I - INTELBRAS</t>
  </si>
  <si>
    <t>CHAVE SELETORA 2 POSIÇÕES FIXAS 22MM + BLOCO DE CONTATO 1 NA</t>
  </si>
  <si>
    <t xml:space="preserve">CHAVEIRO TAG RFID TH 1000 MF 13,56 MHZ INTELBRAS </t>
  </si>
  <si>
    <t>CINTA VELCRO 50X 15CM ABRAÇADEIRA PRETO</t>
  </si>
  <si>
    <t>JBX COMÉRCIO LTDA</t>
  </si>
  <si>
    <t>CONECTOR EMENDA 4MM 32A 3P WAGO 22141</t>
  </si>
  <si>
    <t>CONECTOR EMENDA 4MM 32A IP 2VIAS WAG</t>
  </si>
  <si>
    <t>CONECTOR EMENDA 6MM 41A 2P PCT 3PCS W</t>
  </si>
  <si>
    <t>CONECTOR EMENDA INLINE 2 POLOS 4MM 32A 221-2411 WAGO</t>
  </si>
  <si>
    <t>DISTRIBUIDORA KELFER</t>
  </si>
  <si>
    <t>CONECTOR KEYSTONE FEMEA RJ45 FURUKAWA SOHOPLUS CAT6</t>
  </si>
  <si>
    <t>HR2TECH SOL.TELEC</t>
  </si>
  <si>
    <t>CONECTOR KEYSTONE RJ45 CAT5E BRANCO SOHO PLUS FURUKAWA</t>
  </si>
  <si>
    <t>CASA DO PROVEDOR</t>
  </si>
  <si>
    <t>CONECTOR RJ45 FURUKAWA SOHOPLUS CAT.6 MACHO</t>
  </si>
  <si>
    <t>TNT INFO</t>
  </si>
  <si>
    <t>COOLER DX-8C - PARA RACK</t>
  </si>
  <si>
    <t>LOPES LED</t>
  </si>
  <si>
    <t>DISJUNTOR TERMOMAGNETICO UNIP 400VCA 16A 3KA WEG MDWPC161</t>
  </si>
  <si>
    <t>FILTRO DE LINHA P/ RACK 19 - 12 TOMADAS PRETA 127/220V</t>
  </si>
  <si>
    <t>INDUSTRIA COMÉRCIO</t>
  </si>
  <si>
    <t>FITA P/ ROTULADOR BROTHER 12M X 8M BRANCA M231 (ORIGINAL)</t>
  </si>
  <si>
    <t>KALUNGA</t>
  </si>
  <si>
    <t>FONTE 9V 3A IT BLUE - P/ COOLER RACK</t>
  </si>
  <si>
    <t>GRADE PROTEGE CAMERAS EXTERNO - 20X20X20 PRETO</t>
  </si>
  <si>
    <t>MUSIC IMPORTS</t>
  </si>
  <si>
    <t>INTERFONE GONDULA MAXCOM TDMI 300 INTELBRAS</t>
  </si>
  <si>
    <t>INTERRUPTOR CONTROLADOR DE CARGAS WI-FI 1/1 EWS 211 INTELBRAS</t>
  </si>
  <si>
    <t>MLC TECH STORE</t>
  </si>
  <si>
    <t>MÓDULO CONECTOR KEYSTONE FÊMEA RJ45 CAT6 - TRAMONTINA</t>
  </si>
  <si>
    <t>MODULO TOMADA 1MOD BR RJ45 CAT5 COMPOSE WEG 1</t>
  </si>
  <si>
    <t>MÓDULO TOMADA RJ45 CAT 6E COMPOSÉ WEG</t>
  </si>
  <si>
    <t>MULTI-BOX - MODULO AUTOMAÇÃO INTELBRAS</t>
  </si>
  <si>
    <t>BDH SHOP COM. EQUIP.</t>
  </si>
  <si>
    <t>ORGANIZADOR CABOS P/ RACK 19" 1U PRETO</t>
  </si>
  <si>
    <t>OCEANO TI DISTR. PROD.</t>
  </si>
  <si>
    <t>PASSAGEM DE PAREDE PARA CANALETA CB60- SPLIT 30 X 113 X 78 MM</t>
  </si>
  <si>
    <t>PATCH CORD RJ45 CAT6 0,5M AZUL CLARO SOHOPLUS - FURUKAWA</t>
  </si>
  <si>
    <t>PATCH PANEL 24 P - DESCARREGADO C/ SUPORTE GUIA TRASEIRA</t>
  </si>
  <si>
    <t>LINK +</t>
  </si>
  <si>
    <t>PORCA GAIOLA BICROMATIZADA / PARAFUSO M5 E</t>
  </si>
  <si>
    <t>UNICASERV</t>
  </si>
  <si>
    <t>RACK MAX ELETRON 5U MINI 19 POLEGADAS PRETO C/ BANDEJA E VISOR 9</t>
  </si>
  <si>
    <t>MAX ELETRON</t>
  </si>
  <si>
    <t>SWITCH GIGABIT TP-LINK 8 PORTAS LS1008G</t>
  </si>
  <si>
    <t>EBAZAR.COM.BR LTDA</t>
  </si>
  <si>
    <t>TERMINAL PRE ISOLADO ILHOS SIMPLES 4MM</t>
  </si>
  <si>
    <t>TOMADA KEYSTONE RJ 45 FÊMEA CAT-6 TRAMONTINA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</si>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</sst>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b/>
      <i/>
      <sz val="18.0"/>
      <color rgb="FFFFFFFF"/>
      <name val="Arial"/>
      <scheme val="minor"/>
    </font>
    <font>
      <b/>
      <sz val="18.0"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vertical="top"/>
    </xf>
    <xf borderId="1" fillId="0" fontId="4" numFmtId="164" xfId="0" applyBorder="1" applyFont="1" applyNumberForma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readingOrder="0" vertical="top"/>
    </xf>
    <xf borderId="1" fillId="0" fontId="4" numFmtId="164" xfId="0" applyAlignment="1" applyBorder="1" applyFont="1" applyNumberFormat="1">
      <alignment readingOrder="0"/>
    </xf>
    <xf borderId="0" fillId="0" fontId="4" numFmtId="0" xfId="0" applyFont="1"/>
    <xf borderId="0" fillId="0" fontId="5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2.88"/>
    <col customWidth="1" min="4" max="4" width="29.75"/>
    <col customWidth="1" min="5" max="5" width="18.75"/>
    <col customWidth="1" min="6" max="6" width="16.63"/>
  </cols>
  <sheetData>
    <row r="1" ht="36.75" customHeight="1">
      <c r="A1" s="1" t="s">
        <v>0</v>
      </c>
    </row>
    <row r="2">
      <c r="A2" s="2" t="s">
        <v>1</v>
      </c>
    </row>
    <row r="4" ht="37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>
        <v>1.0</v>
      </c>
      <c r="B5" s="5" t="s">
        <v>8</v>
      </c>
      <c r="C5" s="6" t="s">
        <v>9</v>
      </c>
      <c r="D5" s="7" t="s">
        <v>10</v>
      </c>
      <c r="E5" s="8">
        <v>39.0</v>
      </c>
      <c r="F5" s="8">
        <f t="shared" ref="F5:F52" si="1">A5*E5</f>
        <v>39</v>
      </c>
    </row>
    <row r="6">
      <c r="A6" s="9">
        <v>4.0</v>
      </c>
      <c r="B6" s="10" t="s">
        <v>11</v>
      </c>
      <c r="C6" s="11" t="s">
        <v>12</v>
      </c>
      <c r="D6" s="12" t="s">
        <v>13</v>
      </c>
      <c r="E6" s="13">
        <v>39.0</v>
      </c>
      <c r="F6" s="8">
        <f t="shared" si="1"/>
        <v>156</v>
      </c>
    </row>
    <row r="7">
      <c r="A7" s="4">
        <v>1.0</v>
      </c>
      <c r="B7" s="5" t="s">
        <v>11</v>
      </c>
      <c r="C7" s="6" t="s">
        <v>14</v>
      </c>
      <c r="D7" s="7" t="s">
        <v>15</v>
      </c>
      <c r="E7" s="8">
        <v>98.24</v>
      </c>
      <c r="F7" s="8">
        <f t="shared" si="1"/>
        <v>98.24</v>
      </c>
    </row>
    <row r="8">
      <c r="A8" s="9">
        <v>1.0</v>
      </c>
      <c r="B8" s="10" t="s">
        <v>11</v>
      </c>
      <c r="C8" s="11" t="s">
        <v>16</v>
      </c>
      <c r="D8" s="12" t="s">
        <v>17</v>
      </c>
      <c r="E8" s="13">
        <v>6.49</v>
      </c>
      <c r="F8" s="8">
        <f t="shared" si="1"/>
        <v>6.49</v>
      </c>
    </row>
    <row r="9">
      <c r="A9" s="4">
        <v>1.0</v>
      </c>
      <c r="B9" s="5" t="s">
        <v>18</v>
      </c>
      <c r="C9" s="6" t="s">
        <v>19</v>
      </c>
      <c r="D9" s="7" t="s">
        <v>20</v>
      </c>
      <c r="E9" s="8">
        <v>1259.01</v>
      </c>
      <c r="F9" s="8">
        <f t="shared" si="1"/>
        <v>1259.01</v>
      </c>
    </row>
    <row r="10">
      <c r="A10" s="9">
        <v>50.0</v>
      </c>
      <c r="B10" s="10" t="s">
        <v>21</v>
      </c>
      <c r="C10" s="11" t="s">
        <v>22</v>
      </c>
      <c r="D10" s="12" t="s">
        <v>17</v>
      </c>
      <c r="E10" s="13">
        <v>1.78</v>
      </c>
      <c r="F10" s="8">
        <f t="shared" si="1"/>
        <v>89</v>
      </c>
    </row>
    <row r="11">
      <c r="A11" s="9">
        <v>50.0</v>
      </c>
      <c r="B11" s="10" t="s">
        <v>21</v>
      </c>
      <c r="C11" s="11" t="s">
        <v>23</v>
      </c>
      <c r="D11" s="12" t="s">
        <v>17</v>
      </c>
      <c r="E11" s="13">
        <v>1.78</v>
      </c>
      <c r="F11" s="8">
        <f t="shared" si="1"/>
        <v>89</v>
      </c>
    </row>
    <row r="12">
      <c r="A12" s="4">
        <v>10.0</v>
      </c>
      <c r="B12" s="5" t="s">
        <v>21</v>
      </c>
      <c r="C12" s="6" t="s">
        <v>24</v>
      </c>
      <c r="D12" s="7" t="s">
        <v>17</v>
      </c>
      <c r="E12" s="8">
        <v>4.79</v>
      </c>
      <c r="F12" s="8">
        <f t="shared" si="1"/>
        <v>47.9</v>
      </c>
    </row>
    <row r="13">
      <c r="A13" s="4">
        <v>20.0</v>
      </c>
      <c r="B13" s="5" t="s">
        <v>21</v>
      </c>
      <c r="C13" s="6" t="s">
        <v>25</v>
      </c>
      <c r="D13" s="7" t="s">
        <v>17</v>
      </c>
      <c r="E13" s="8">
        <v>3.96</v>
      </c>
      <c r="F13" s="8">
        <f t="shared" si="1"/>
        <v>79.2</v>
      </c>
    </row>
    <row r="14">
      <c r="A14" s="4">
        <v>20.0</v>
      </c>
      <c r="B14" s="5" t="s">
        <v>21</v>
      </c>
      <c r="C14" s="6" t="s">
        <v>26</v>
      </c>
      <c r="D14" s="7" t="s">
        <v>17</v>
      </c>
      <c r="E14" s="8">
        <v>3.96</v>
      </c>
      <c r="F14" s="8">
        <f t="shared" si="1"/>
        <v>79.2</v>
      </c>
    </row>
    <row r="15">
      <c r="A15" s="4">
        <v>20.0</v>
      </c>
      <c r="B15" s="5" t="s">
        <v>21</v>
      </c>
      <c r="C15" s="6" t="s">
        <v>27</v>
      </c>
      <c r="D15" s="7" t="s">
        <v>17</v>
      </c>
      <c r="E15" s="8">
        <v>3.96</v>
      </c>
      <c r="F15" s="8">
        <f t="shared" si="1"/>
        <v>79.2</v>
      </c>
    </row>
    <row r="16">
      <c r="A16" s="4">
        <v>2.0</v>
      </c>
      <c r="B16" s="5" t="s">
        <v>11</v>
      </c>
      <c r="C16" s="6" t="s">
        <v>28</v>
      </c>
      <c r="D16" s="7" t="s">
        <v>29</v>
      </c>
      <c r="E16" s="8">
        <v>19.9</v>
      </c>
      <c r="F16" s="8">
        <f t="shared" si="1"/>
        <v>39.8</v>
      </c>
    </row>
    <row r="17">
      <c r="A17" s="4">
        <v>1.0</v>
      </c>
      <c r="B17" s="5" t="s">
        <v>11</v>
      </c>
      <c r="C17" s="6" t="s">
        <v>30</v>
      </c>
      <c r="D17" s="7" t="s">
        <v>31</v>
      </c>
      <c r="E17" s="8">
        <v>375.25</v>
      </c>
      <c r="F17" s="8">
        <f t="shared" si="1"/>
        <v>375.25</v>
      </c>
    </row>
    <row r="18">
      <c r="A18" s="4">
        <v>1.0</v>
      </c>
      <c r="B18" s="5" t="s">
        <v>11</v>
      </c>
      <c r="C18" s="6" t="s">
        <v>32</v>
      </c>
      <c r="D18" s="7" t="s">
        <v>29</v>
      </c>
      <c r="E18" s="8">
        <v>168.9</v>
      </c>
      <c r="F18" s="8">
        <f t="shared" si="1"/>
        <v>168.9</v>
      </c>
    </row>
    <row r="19">
      <c r="A19" s="4">
        <v>2.0</v>
      </c>
      <c r="B19" s="5" t="s">
        <v>21</v>
      </c>
      <c r="C19" s="6" t="s">
        <v>33</v>
      </c>
      <c r="D19" s="7" t="s">
        <v>17</v>
      </c>
      <c r="E19" s="8">
        <v>93.99</v>
      </c>
      <c r="F19" s="8">
        <f t="shared" si="1"/>
        <v>187.98</v>
      </c>
    </row>
    <row r="20">
      <c r="A20" s="4">
        <v>1.0</v>
      </c>
      <c r="B20" s="5" t="s">
        <v>21</v>
      </c>
      <c r="C20" s="11" t="s">
        <v>34</v>
      </c>
      <c r="D20" s="7" t="s">
        <v>35</v>
      </c>
      <c r="E20" s="8">
        <v>34.8</v>
      </c>
      <c r="F20" s="8">
        <f t="shared" si="1"/>
        <v>34.8</v>
      </c>
    </row>
    <row r="21">
      <c r="A21" s="4">
        <v>1.0</v>
      </c>
      <c r="B21" s="5" t="s">
        <v>11</v>
      </c>
      <c r="C21" s="6" t="s">
        <v>36</v>
      </c>
      <c r="D21" s="7" t="s">
        <v>15</v>
      </c>
      <c r="E21" s="8">
        <v>953.1</v>
      </c>
      <c r="F21" s="8">
        <f t="shared" si="1"/>
        <v>953.1</v>
      </c>
    </row>
    <row r="22">
      <c r="A22" s="4">
        <v>1.0</v>
      </c>
      <c r="B22" s="5" t="s">
        <v>11</v>
      </c>
      <c r="C22" s="6" t="s">
        <v>37</v>
      </c>
      <c r="D22" s="7" t="s">
        <v>17</v>
      </c>
      <c r="E22" s="8">
        <v>25.0</v>
      </c>
      <c r="F22" s="8">
        <f t="shared" si="1"/>
        <v>25</v>
      </c>
    </row>
    <row r="23">
      <c r="A23" s="4">
        <v>12.0</v>
      </c>
      <c r="B23" s="5" t="s">
        <v>11</v>
      </c>
      <c r="C23" s="6" t="s">
        <v>38</v>
      </c>
      <c r="D23" s="7" t="s">
        <v>15</v>
      </c>
      <c r="E23" s="8">
        <v>6.047</v>
      </c>
      <c r="F23" s="8">
        <f t="shared" si="1"/>
        <v>72.564</v>
      </c>
    </row>
    <row r="24">
      <c r="A24" s="4">
        <v>1.0</v>
      </c>
      <c r="B24" s="5" t="s">
        <v>8</v>
      </c>
      <c r="C24" s="6" t="s">
        <v>39</v>
      </c>
      <c r="D24" s="7" t="s">
        <v>40</v>
      </c>
      <c r="E24" s="8">
        <v>20.7</v>
      </c>
      <c r="F24" s="8">
        <f t="shared" si="1"/>
        <v>20.7</v>
      </c>
    </row>
    <row r="25" ht="13.5" customHeight="1">
      <c r="A25" s="9">
        <v>10.0</v>
      </c>
      <c r="B25" s="10" t="s">
        <v>11</v>
      </c>
      <c r="C25" s="11" t="s">
        <v>41</v>
      </c>
      <c r="D25" s="12" t="s">
        <v>17</v>
      </c>
      <c r="E25" s="13">
        <v>3.99</v>
      </c>
      <c r="F25" s="8">
        <f t="shared" si="1"/>
        <v>39.9</v>
      </c>
    </row>
    <row r="26">
      <c r="A26" s="9">
        <v>10.0</v>
      </c>
      <c r="B26" s="10" t="s">
        <v>11</v>
      </c>
      <c r="C26" s="11" t="s">
        <v>42</v>
      </c>
      <c r="D26" s="12" t="s">
        <v>17</v>
      </c>
      <c r="E26" s="13">
        <v>3.99</v>
      </c>
      <c r="F26" s="8">
        <f t="shared" si="1"/>
        <v>39.9</v>
      </c>
    </row>
    <row r="27">
      <c r="A27" s="9">
        <v>3.0</v>
      </c>
      <c r="B27" s="10" t="s">
        <v>11</v>
      </c>
      <c r="C27" s="11" t="s">
        <v>43</v>
      </c>
      <c r="D27" s="12" t="s">
        <v>17</v>
      </c>
      <c r="E27" s="13">
        <v>7.0</v>
      </c>
      <c r="F27" s="8">
        <f t="shared" si="1"/>
        <v>21</v>
      </c>
    </row>
    <row r="28">
      <c r="A28" s="4">
        <v>10.0</v>
      </c>
      <c r="B28" s="5" t="s">
        <v>8</v>
      </c>
      <c r="C28" s="6" t="s">
        <v>44</v>
      </c>
      <c r="D28" s="7" t="s">
        <v>45</v>
      </c>
      <c r="E28" s="8">
        <v>3.74</v>
      </c>
      <c r="F28" s="8">
        <f t="shared" si="1"/>
        <v>37.4</v>
      </c>
    </row>
    <row r="29">
      <c r="A29" s="4">
        <v>10.0</v>
      </c>
      <c r="B29" s="5" t="s">
        <v>11</v>
      </c>
      <c r="C29" s="6" t="s">
        <v>46</v>
      </c>
      <c r="D29" s="7" t="s">
        <v>47</v>
      </c>
      <c r="E29" s="8">
        <v>37.8</v>
      </c>
      <c r="F29" s="8">
        <f t="shared" si="1"/>
        <v>378</v>
      </c>
    </row>
    <row r="30">
      <c r="A30" s="4">
        <v>20.0</v>
      </c>
      <c r="B30" s="5" t="s">
        <v>8</v>
      </c>
      <c r="C30" s="6" t="s">
        <v>48</v>
      </c>
      <c r="D30" s="7" t="s">
        <v>49</v>
      </c>
      <c r="E30" s="8">
        <v>11.05</v>
      </c>
      <c r="F30" s="8">
        <f t="shared" si="1"/>
        <v>221</v>
      </c>
    </row>
    <row r="31">
      <c r="A31" s="4">
        <v>20.0</v>
      </c>
      <c r="B31" s="5" t="s">
        <v>11</v>
      </c>
      <c r="C31" s="6" t="s">
        <v>50</v>
      </c>
      <c r="D31" s="7" t="s">
        <v>51</v>
      </c>
      <c r="E31" s="8">
        <v>4.59</v>
      </c>
      <c r="F31" s="8">
        <f t="shared" si="1"/>
        <v>91.8</v>
      </c>
    </row>
    <row r="32">
      <c r="A32" s="4">
        <v>1.0</v>
      </c>
      <c r="B32" s="5" t="s">
        <v>11</v>
      </c>
      <c r="C32" s="6" t="s">
        <v>52</v>
      </c>
      <c r="D32" s="7" t="s">
        <v>53</v>
      </c>
      <c r="E32" s="8">
        <v>22.8</v>
      </c>
      <c r="F32" s="8">
        <f t="shared" si="1"/>
        <v>22.8</v>
      </c>
    </row>
    <row r="33">
      <c r="A33" s="4">
        <v>1.0</v>
      </c>
      <c r="B33" s="5" t="s">
        <v>11</v>
      </c>
      <c r="C33" s="6" t="s">
        <v>54</v>
      </c>
      <c r="D33" s="7" t="s">
        <v>17</v>
      </c>
      <c r="E33" s="8">
        <v>10.49</v>
      </c>
      <c r="F33" s="8">
        <f t="shared" si="1"/>
        <v>10.49</v>
      </c>
    </row>
    <row r="34">
      <c r="A34" s="4">
        <v>1.0</v>
      </c>
      <c r="B34" s="5" t="s">
        <v>11</v>
      </c>
      <c r="C34" s="6" t="s">
        <v>55</v>
      </c>
      <c r="D34" s="7" t="s">
        <v>56</v>
      </c>
      <c r="E34" s="8">
        <v>66.18</v>
      </c>
      <c r="F34" s="8">
        <f t="shared" si="1"/>
        <v>66.18</v>
      </c>
    </row>
    <row r="35">
      <c r="A35" s="4">
        <v>2.0</v>
      </c>
      <c r="B35" s="5" t="s">
        <v>8</v>
      </c>
      <c r="C35" s="6" t="s">
        <v>57</v>
      </c>
      <c r="D35" s="7" t="s">
        <v>58</v>
      </c>
      <c r="E35" s="8">
        <v>66.6</v>
      </c>
      <c r="F35" s="8">
        <f t="shared" si="1"/>
        <v>133.2</v>
      </c>
    </row>
    <row r="36">
      <c r="A36" s="9">
        <v>1.0</v>
      </c>
      <c r="B36" s="10" t="s">
        <v>8</v>
      </c>
      <c r="C36" s="11" t="s">
        <v>59</v>
      </c>
      <c r="D36" s="12" t="s">
        <v>53</v>
      </c>
      <c r="E36" s="13">
        <v>24.9</v>
      </c>
      <c r="F36" s="8">
        <f t="shared" si="1"/>
        <v>24.9</v>
      </c>
    </row>
    <row r="37">
      <c r="A37" s="4">
        <v>1.0</v>
      </c>
      <c r="B37" s="5" t="s">
        <v>11</v>
      </c>
      <c r="C37" s="6" t="s">
        <v>60</v>
      </c>
      <c r="D37" s="7" t="s">
        <v>61</v>
      </c>
      <c r="E37" s="8">
        <v>41.99</v>
      </c>
      <c r="F37" s="8">
        <f t="shared" si="1"/>
        <v>41.99</v>
      </c>
    </row>
    <row r="38">
      <c r="A38" s="4">
        <v>6.0</v>
      </c>
      <c r="B38" s="5" t="s">
        <v>11</v>
      </c>
      <c r="C38" s="6" t="s">
        <v>62</v>
      </c>
      <c r="D38" s="7" t="s">
        <v>15</v>
      </c>
      <c r="E38" s="8">
        <v>65.745</v>
      </c>
      <c r="F38" s="8">
        <f t="shared" si="1"/>
        <v>394.47</v>
      </c>
    </row>
    <row r="39">
      <c r="A39" s="9">
        <v>1.0</v>
      </c>
      <c r="B39" s="10" t="s">
        <v>11</v>
      </c>
      <c r="C39" s="11" t="s">
        <v>63</v>
      </c>
      <c r="D39" s="12" t="s">
        <v>64</v>
      </c>
      <c r="E39" s="13">
        <v>137.95</v>
      </c>
      <c r="F39" s="8">
        <f t="shared" si="1"/>
        <v>137.95</v>
      </c>
    </row>
    <row r="40">
      <c r="A40" s="4">
        <v>6.0</v>
      </c>
      <c r="B40" s="5" t="s">
        <v>11</v>
      </c>
      <c r="C40" s="6" t="s">
        <v>65</v>
      </c>
      <c r="D40" s="7" t="s">
        <v>17</v>
      </c>
      <c r="E40" s="8">
        <v>24.9</v>
      </c>
      <c r="F40" s="8">
        <f t="shared" si="1"/>
        <v>149.4</v>
      </c>
    </row>
    <row r="41">
      <c r="A41" s="4">
        <v>6.0</v>
      </c>
      <c r="B41" s="5" t="s">
        <v>11</v>
      </c>
      <c r="C41" s="6" t="s">
        <v>66</v>
      </c>
      <c r="D41" s="7" t="s">
        <v>17</v>
      </c>
      <c r="E41" s="8">
        <v>19.49</v>
      </c>
      <c r="F41" s="8">
        <f t="shared" si="1"/>
        <v>116.94</v>
      </c>
    </row>
    <row r="42">
      <c r="A42" s="4">
        <v>2.0</v>
      </c>
      <c r="B42" s="5" t="s">
        <v>11</v>
      </c>
      <c r="C42" s="6" t="s">
        <v>67</v>
      </c>
      <c r="D42" s="7" t="s">
        <v>17</v>
      </c>
      <c r="E42" s="8">
        <v>80.0</v>
      </c>
      <c r="F42" s="8">
        <f t="shared" si="1"/>
        <v>160</v>
      </c>
    </row>
    <row r="43">
      <c r="A43" s="4">
        <v>1.0</v>
      </c>
      <c r="B43" s="5" t="s">
        <v>8</v>
      </c>
      <c r="C43" s="6" t="s">
        <v>68</v>
      </c>
      <c r="D43" s="7" t="s">
        <v>69</v>
      </c>
      <c r="E43" s="8">
        <v>262.3</v>
      </c>
      <c r="F43" s="8">
        <f t="shared" si="1"/>
        <v>262.3</v>
      </c>
    </row>
    <row r="44">
      <c r="A44" s="4">
        <v>1.0</v>
      </c>
      <c r="B44" s="5" t="s">
        <v>8</v>
      </c>
      <c r="C44" s="6" t="s">
        <v>70</v>
      </c>
      <c r="D44" s="7" t="s">
        <v>71</v>
      </c>
      <c r="E44" s="8">
        <v>27.17</v>
      </c>
      <c r="F44" s="8">
        <f t="shared" si="1"/>
        <v>27.17</v>
      </c>
    </row>
    <row r="45">
      <c r="A45" s="4">
        <v>1.0</v>
      </c>
      <c r="B45" s="5" t="s">
        <v>11</v>
      </c>
      <c r="C45" s="6" t="s">
        <v>72</v>
      </c>
      <c r="D45" s="7" t="s">
        <v>35</v>
      </c>
      <c r="E45" s="8">
        <v>19.9</v>
      </c>
      <c r="F45" s="8">
        <f t="shared" si="1"/>
        <v>19.9</v>
      </c>
    </row>
    <row r="46">
      <c r="A46" s="4">
        <v>5.0</v>
      </c>
      <c r="B46" s="5" t="s">
        <v>8</v>
      </c>
      <c r="C46" s="6" t="s">
        <v>73</v>
      </c>
      <c r="D46" s="7" t="s">
        <v>51</v>
      </c>
      <c r="E46" s="8">
        <v>28.0</v>
      </c>
      <c r="F46" s="8">
        <f t="shared" si="1"/>
        <v>140</v>
      </c>
    </row>
    <row r="47">
      <c r="A47" s="4">
        <v>1.0</v>
      </c>
      <c r="B47" s="5" t="s">
        <v>11</v>
      </c>
      <c r="C47" s="6" t="s">
        <v>74</v>
      </c>
      <c r="D47" s="7" t="s">
        <v>75</v>
      </c>
      <c r="E47" s="8">
        <v>71.97</v>
      </c>
      <c r="F47" s="8">
        <f t="shared" si="1"/>
        <v>71.97</v>
      </c>
    </row>
    <row r="48">
      <c r="A48" s="4">
        <v>30.0</v>
      </c>
      <c r="B48" s="5" t="s">
        <v>11</v>
      </c>
      <c r="C48" s="6" t="s">
        <v>76</v>
      </c>
      <c r="D48" s="7" t="s">
        <v>77</v>
      </c>
      <c r="E48" s="8">
        <v>1.0</v>
      </c>
      <c r="F48" s="8">
        <f t="shared" si="1"/>
        <v>30</v>
      </c>
    </row>
    <row r="49">
      <c r="A49" s="4">
        <v>1.0</v>
      </c>
      <c r="B49" s="5" t="s">
        <v>11</v>
      </c>
      <c r="C49" s="11" t="s">
        <v>78</v>
      </c>
      <c r="D49" s="7" t="s">
        <v>79</v>
      </c>
      <c r="E49" s="8">
        <v>199.9</v>
      </c>
      <c r="F49" s="8">
        <f t="shared" si="1"/>
        <v>199.9</v>
      </c>
    </row>
    <row r="50">
      <c r="A50" s="4">
        <v>1.0</v>
      </c>
      <c r="B50" s="5" t="s">
        <v>8</v>
      </c>
      <c r="C50" s="6" t="s">
        <v>80</v>
      </c>
      <c r="D50" s="7" t="s">
        <v>81</v>
      </c>
      <c r="E50" s="8">
        <v>148.73</v>
      </c>
      <c r="F50" s="8">
        <f t="shared" si="1"/>
        <v>148.73</v>
      </c>
    </row>
    <row r="51">
      <c r="A51" s="4">
        <v>40.0</v>
      </c>
      <c r="B51" s="5" t="s">
        <v>11</v>
      </c>
      <c r="C51" s="6" t="s">
        <v>82</v>
      </c>
      <c r="D51" s="7" t="s">
        <v>17</v>
      </c>
      <c r="E51" s="8">
        <v>0.15</v>
      </c>
      <c r="F51" s="8">
        <f t="shared" si="1"/>
        <v>6</v>
      </c>
    </row>
    <row r="52">
      <c r="A52" s="4">
        <v>5.0</v>
      </c>
      <c r="B52" s="5" t="s">
        <v>8</v>
      </c>
      <c r="C52" s="6" t="s">
        <v>83</v>
      </c>
      <c r="D52" s="7" t="s">
        <v>29</v>
      </c>
      <c r="E52" s="8">
        <v>17.81</v>
      </c>
      <c r="F52" s="8">
        <f t="shared" si="1"/>
        <v>89.05</v>
      </c>
    </row>
    <row r="53">
      <c r="A53" s="14"/>
      <c r="E53" s="15" t="s">
        <v>84</v>
      </c>
      <c r="F53" s="16">
        <f>SUM(F5:F52)</f>
        <v>6982.674</v>
      </c>
    </row>
  </sheetData>
  <mergeCells count="1">
    <mergeCell ref="A1:F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