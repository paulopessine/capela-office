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rramentas" sheetId="1" r:id="rId5"/>
  </sheets>
  <definedNames/>
  <calcPr/>
</workbook>
</file>

<file path=xl/sharedStrings.xml><?xml version="1.0" encoding="utf-8"?>
<sst xmlns="http://schemas.openxmlformats.org/spreadsheetml/2006/main" count="37" uniqueCount="29">
  <si>
    <t>PLANILHA DE REDES - FERRAMENTAS</t>
  </si>
  <si>
    <t>e</t>
  </si>
  <si>
    <t>FERRAMENTAS</t>
  </si>
  <si>
    <t>QTDE</t>
  </si>
  <si>
    <t>UND</t>
  </si>
  <si>
    <t>MODELO - DESCRIÇÃO</t>
  </si>
  <si>
    <t>MARCA</t>
  </si>
  <si>
    <t>VALOR UNITÁRIO</t>
  </si>
  <si>
    <t>VALOR TOTAL</t>
  </si>
  <si>
    <t>UN</t>
  </si>
  <si>
    <t>ALICATE CRIMPADOR FOXLUX ACR1 N8 COM PLUG RJ-45</t>
  </si>
  <si>
    <t>FOXLUX</t>
  </si>
  <si>
    <t>ALICATE FERTAK DECAPADOR AJUSTÁVEL PARA FIOS 0.2-6MM</t>
  </si>
  <si>
    <t>FERTAK</t>
  </si>
  <si>
    <t>ESTILETE PROFISSIONAL C/ TRAVA 12 LÂMINAS 18MM EMBO VONDER ES 218</t>
  </si>
  <si>
    <t>VONDER</t>
  </si>
  <si>
    <t>ALICATE DECAPADOR UTP E COAXIAL PROFISSIONAL HY-501A</t>
  </si>
  <si>
    <t>GENÉRICA</t>
  </si>
  <si>
    <t>KIT LOCALIZADOR DE CABOS RASTREADOR DE FIOS SPARTEC GHI-500</t>
  </si>
  <si>
    <t>SPARTEC TELECOM</t>
  </si>
  <si>
    <t>TESTADOR DE CABOS DE REDE RJ45 E RJ11 CAT5 CAT5E CAT6 CAT7</t>
  </si>
  <si>
    <t>BONVIK</t>
  </si>
  <si>
    <t>MULTÍMETRO DIGITAL TOZZ DT830D MEDIÇÃO TENSÃO DC/AC</t>
  </si>
  <si>
    <t>TOZZ</t>
  </si>
  <si>
    <t>ALICATE DE INSERÇÃO IMPACTO PUNCH DOWN RJ45 FEMEA</t>
  </si>
  <si>
    <t>MCONNECT</t>
  </si>
  <si>
    <t>ROTULADOR ELETRÔNICO PORTÁTIL, BRANCO, PTM95WT, BROTHER</t>
  </si>
  <si>
    <t>BROTHER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</si>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</sst>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b/>
      <i/>
      <sz val="18.0"/>
      <color rgb="FFFFFFFF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2.88"/>
    <col customWidth="1" min="4" max="4" width="29.75"/>
    <col customWidth="1" min="5" max="5" width="18.75"/>
    <col customWidth="1" min="6" max="6" width="16.63"/>
  </cols>
  <sheetData>
    <row r="1" ht="36.75" customHeight="1">
      <c r="A1" s="1" t="s">
        <v>0</v>
      </c>
      <c r="G1" s="2" t="s">
        <v>1</v>
      </c>
    </row>
    <row r="2">
      <c r="A2" s="3"/>
    </row>
    <row r="4">
      <c r="A4" s="3" t="s">
        <v>2</v>
      </c>
    </row>
    <row r="6" ht="37.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>
      <c r="A7" s="5">
        <v>1.0</v>
      </c>
      <c r="B7" s="5" t="s">
        <v>9</v>
      </c>
      <c r="C7" s="6" t="s">
        <v>10</v>
      </c>
      <c r="D7" s="5" t="s">
        <v>11</v>
      </c>
      <c r="E7" s="7">
        <v>40.0</v>
      </c>
      <c r="F7" s="7">
        <f t="shared" ref="F7:F15" si="1">A7*E7</f>
        <v>40</v>
      </c>
    </row>
    <row r="8">
      <c r="A8" s="5">
        <v>1.0</v>
      </c>
      <c r="B8" s="5" t="s">
        <v>9</v>
      </c>
      <c r="C8" s="6" t="s">
        <v>12</v>
      </c>
      <c r="D8" s="5" t="s">
        <v>13</v>
      </c>
      <c r="E8" s="7">
        <v>39.0</v>
      </c>
      <c r="F8" s="7">
        <f t="shared" si="1"/>
        <v>39</v>
      </c>
    </row>
    <row r="9">
      <c r="A9" s="5">
        <v>1.0</v>
      </c>
      <c r="B9" s="5" t="s">
        <v>9</v>
      </c>
      <c r="C9" s="6" t="s">
        <v>14</v>
      </c>
      <c r="D9" s="5" t="s">
        <v>15</v>
      </c>
      <c r="E9" s="7">
        <v>19.0</v>
      </c>
      <c r="F9" s="7">
        <f t="shared" si="1"/>
        <v>19</v>
      </c>
    </row>
    <row r="10">
      <c r="A10" s="5">
        <v>1.0</v>
      </c>
      <c r="B10" s="5" t="s">
        <v>9</v>
      </c>
      <c r="C10" s="6" t="s">
        <v>16</v>
      </c>
      <c r="D10" s="5" t="s">
        <v>17</v>
      </c>
      <c r="E10" s="7">
        <v>25.0</v>
      </c>
      <c r="F10" s="7">
        <f t="shared" si="1"/>
        <v>25</v>
      </c>
    </row>
    <row r="11">
      <c r="A11" s="5">
        <v>1.0</v>
      </c>
      <c r="B11" s="5" t="s">
        <v>9</v>
      </c>
      <c r="C11" s="6" t="s">
        <v>18</v>
      </c>
      <c r="D11" s="5" t="s">
        <v>19</v>
      </c>
      <c r="E11" s="7">
        <v>250.0</v>
      </c>
      <c r="F11" s="7">
        <f t="shared" si="1"/>
        <v>250</v>
      </c>
    </row>
    <row r="12">
      <c r="A12" s="5">
        <v>1.0</v>
      </c>
      <c r="B12" s="5" t="s">
        <v>9</v>
      </c>
      <c r="C12" s="6" t="s">
        <v>20</v>
      </c>
      <c r="D12" s="5" t="s">
        <v>21</v>
      </c>
      <c r="E12" s="7">
        <v>25.0</v>
      </c>
      <c r="F12" s="7">
        <f t="shared" si="1"/>
        <v>25</v>
      </c>
    </row>
    <row r="13">
      <c r="A13" s="5">
        <v>1.0</v>
      </c>
      <c r="B13" s="5" t="s">
        <v>9</v>
      </c>
      <c r="C13" s="6" t="s">
        <v>22</v>
      </c>
      <c r="D13" s="5" t="s">
        <v>23</v>
      </c>
      <c r="E13" s="7">
        <v>35.0</v>
      </c>
      <c r="F13" s="7">
        <f t="shared" si="1"/>
        <v>35</v>
      </c>
    </row>
    <row r="14">
      <c r="A14" s="5">
        <v>1.0</v>
      </c>
      <c r="B14" s="5" t="s">
        <v>9</v>
      </c>
      <c r="C14" s="6" t="s">
        <v>24</v>
      </c>
      <c r="D14" s="5" t="s">
        <v>25</v>
      </c>
      <c r="E14" s="7">
        <v>44.6</v>
      </c>
      <c r="F14" s="7">
        <f t="shared" si="1"/>
        <v>44.6</v>
      </c>
    </row>
    <row r="15">
      <c r="A15" s="5">
        <v>1.0</v>
      </c>
      <c r="B15" s="5" t="s">
        <v>9</v>
      </c>
      <c r="C15" s="6" t="s">
        <v>26</v>
      </c>
      <c r="D15" s="5" t="s">
        <v>27</v>
      </c>
      <c r="E15" s="7">
        <v>269.0</v>
      </c>
      <c r="F15" s="7">
        <f t="shared" si="1"/>
        <v>269</v>
      </c>
    </row>
    <row r="16">
      <c r="E16" s="8" t="s">
        <v>28</v>
      </c>
      <c r="F16" s="9">
        <f>SUM(F7:F15)</f>
        <v>746.6</v>
      </c>
    </row>
  </sheetData>
  <mergeCells count="1">
    <mergeCell ref="A1:F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