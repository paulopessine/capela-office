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OS" sheetId="1" r:id="rId5"/>
  </sheets>
  <definedNames/>
  <calcPr/>
</workbook>
</file>

<file path=xl/sharedStrings.xml><?xml version="1.0" encoding="utf-8"?>
<sst xmlns="http://schemas.openxmlformats.org/spreadsheetml/2006/main" count="30" uniqueCount="20">
  <si>
    <t>PLANILHA DE ORÇAMENTO REDES - SERVIÇOS</t>
  </si>
  <si>
    <t>SERVIÇOS</t>
  </si>
  <si>
    <t>QTDE</t>
  </si>
  <si>
    <t>UND</t>
  </si>
  <si>
    <t>DESCRIÇÃO</t>
  </si>
  <si>
    <t>PRESTADOR / SERVIÇOS</t>
  </si>
  <si>
    <t>VALOR UNITÁRIO</t>
  </si>
  <si>
    <t>VALOR TOTAL</t>
  </si>
  <si>
    <t>H</t>
  </si>
  <si>
    <t>ENTREVISTA INICIAL C/ CLIENTE - (LEVANTAMENTO DAS NECESSIDADES/SUGESTÕES - DRAFT FÍSICO E LÓGICO - PLANTA BAIXA - PESSOAS, PONTOS DE REDE CABEADA, SINAL DO WIFI, IMPRESSORAS, SALA DA DISTRIBUIÇÃO GERAL, ETC) -DEFINIÇÃO DOS RECURSOS/ETAPAS (REDE DE DADOS, IMAGENS DE CÂMERAS CFTV, INTERFONES, AUTOMAÇÃO ETC)</t>
  </si>
  <si>
    <t>PAULO PESSINE</t>
  </si>
  <si>
    <t>ELABORAÇÃO DO PROJETO FÍSICO E LÓGICO (ENTREGA DA DOCUMENTAÇÃO EM PDF)  - AGUARDAR APROVAÇÃO DO CLIENTE</t>
  </si>
  <si>
    <t>PROJETO APROVADO - GERAR LISTA DE EQUIPAMENTOS, PROJETO DAS CARGA ELÉTRICAS (DIMENSIONAMENTO CIRCUITOS, DISJUNTORES,  DETALHES E NORMAS TÉCNICAS).</t>
  </si>
  <si>
    <t>PAULO PESSINE / ANDRÉ TOLEDO</t>
  </si>
  <si>
    <t>ELABORAÇÃO DO PROJETO ELÉTRICO - PLANTA ELÉTRICA</t>
  </si>
  <si>
    <t>ANDRÉ TOLEDO</t>
  </si>
  <si>
    <t>MÃO DE OBRA ELETRICISTA - LANÇAMENTO CABOS, INSTALAÇÃO DAS CÂMERAS, CANALETAS E ETC.</t>
  </si>
  <si>
    <t>IMPLANTAÇÃO DO PROJETO, IDENTIFICAÇÃO DOS PONTOS DE REDE, CABOS, RACK E PATCH PANEL, COORDENAÇÃO DO PROJETO</t>
  </si>
  <si>
    <t>CERTIFICAÇÃO DE PONTOS DE REDES, CABEAMENTO E SINAL DA REDE WIFI (OPÇÃO DO CLIENTE - OPCIONAL) - FLUKE NETWORKS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</si>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</sst>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2.88"/>
    <col customWidth="1" min="4" max="4" width="29.75"/>
    <col customWidth="1" min="5" max="5" width="18.75"/>
    <col customWidth="1" min="6" max="6" width="16.63"/>
  </cols>
  <sheetData>
    <row r="1" ht="36.75" customHeight="1">
      <c r="A1" s="1" t="s">
        <v>0</v>
      </c>
    </row>
    <row r="3">
      <c r="A3" s="2" t="s">
        <v>1</v>
      </c>
    </row>
    <row r="5" ht="37.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>
      <c r="A6" s="4">
        <v>4.0</v>
      </c>
      <c r="B6" s="4" t="s">
        <v>8</v>
      </c>
      <c r="C6" s="5" t="s">
        <v>9</v>
      </c>
      <c r="D6" s="6" t="s">
        <v>10</v>
      </c>
      <c r="E6" s="7">
        <v>100.0</v>
      </c>
      <c r="F6" s="7">
        <f t="shared" ref="F6:F12" si="1">A6*E6</f>
        <v>400</v>
      </c>
    </row>
    <row r="7">
      <c r="A7" s="4">
        <v>20.0</v>
      </c>
      <c r="B7" s="4" t="s">
        <v>8</v>
      </c>
      <c r="C7" s="5" t="s">
        <v>11</v>
      </c>
      <c r="D7" s="6" t="s">
        <v>10</v>
      </c>
      <c r="E7" s="7">
        <v>100.0</v>
      </c>
      <c r="F7" s="7">
        <f t="shared" si="1"/>
        <v>2000</v>
      </c>
    </row>
    <row r="8">
      <c r="A8" s="4">
        <v>6.0</v>
      </c>
      <c r="B8" s="4" t="s">
        <v>8</v>
      </c>
      <c r="C8" s="5" t="s">
        <v>12</v>
      </c>
      <c r="D8" s="6" t="s">
        <v>13</v>
      </c>
      <c r="E8" s="7">
        <v>100.0</v>
      </c>
      <c r="F8" s="7">
        <f t="shared" si="1"/>
        <v>600</v>
      </c>
    </row>
    <row r="9">
      <c r="A9" s="4">
        <v>10.0</v>
      </c>
      <c r="B9" s="4" t="s">
        <v>8</v>
      </c>
      <c r="C9" s="5" t="s">
        <v>14</v>
      </c>
      <c r="D9" s="6" t="s">
        <v>15</v>
      </c>
      <c r="E9" s="7">
        <v>100.0</v>
      </c>
      <c r="F9" s="7">
        <f t="shared" si="1"/>
        <v>1000</v>
      </c>
    </row>
    <row r="10">
      <c r="A10" s="4">
        <v>24.0</v>
      </c>
      <c r="B10" s="4" t="s">
        <v>8</v>
      </c>
      <c r="C10" s="5" t="s">
        <v>16</v>
      </c>
      <c r="D10" s="6" t="s">
        <v>15</v>
      </c>
      <c r="E10" s="7">
        <v>70.0</v>
      </c>
      <c r="F10" s="7">
        <f t="shared" si="1"/>
        <v>1680</v>
      </c>
    </row>
    <row r="11">
      <c r="A11" s="4">
        <v>48.0</v>
      </c>
      <c r="B11" s="4" t="s">
        <v>8</v>
      </c>
      <c r="C11" s="5" t="s">
        <v>17</v>
      </c>
      <c r="D11" s="6" t="s">
        <v>10</v>
      </c>
      <c r="E11" s="7">
        <v>150.0</v>
      </c>
      <c r="F11" s="7">
        <f t="shared" si="1"/>
        <v>7200</v>
      </c>
    </row>
    <row r="12">
      <c r="A12" s="4">
        <v>24.0</v>
      </c>
      <c r="B12" s="4" t="s">
        <v>8</v>
      </c>
      <c r="C12" s="5" t="s">
        <v>18</v>
      </c>
      <c r="D12" s="6" t="s">
        <v>10</v>
      </c>
      <c r="E12" s="7">
        <v>250.0</v>
      </c>
      <c r="F12" s="7">
        <f t="shared" si="1"/>
        <v>6000</v>
      </c>
    </row>
    <row r="13">
      <c r="A13" s="8"/>
      <c r="B13" s="8"/>
      <c r="C13" s="8"/>
      <c r="D13" s="8"/>
      <c r="E13" s="9" t="s">
        <v>19</v>
      </c>
      <c r="F13" s="10">
        <f>SUM(F6:F12)</f>
        <v>18880</v>
      </c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